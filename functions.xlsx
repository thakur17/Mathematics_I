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nCampus\mathi\"/>
    </mc:Choice>
  </mc:AlternateContent>
  <xr:revisionPtr revIDLastSave="0" documentId="8_{6920AD1A-6C01-4E3A-9E21-5ED8CD3E1634}" xr6:coauthVersionLast="47" xr6:coauthVersionMax="47" xr10:uidLastSave="{00000000-0000-0000-0000-000000000000}"/>
  <bookViews>
    <workbookView xWindow="-108" yWindow="-108" windowWidth="23256" windowHeight="12456" activeTab="1" xr2:uid="{2357168F-DB3D-4C39-948B-87774E7081D4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7" i="2" l="1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A8" i="2"/>
  <c r="B7" i="2"/>
  <c r="C7" i="2" s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B27" i="1"/>
  <c r="D27" i="1" s="1"/>
  <c r="B26" i="1"/>
  <c r="C26" i="1" s="1"/>
  <c r="B25" i="1"/>
  <c r="C25" i="1" s="1"/>
  <c r="B24" i="1"/>
  <c r="C24" i="1" s="1"/>
  <c r="B23" i="1"/>
  <c r="C23" i="1" s="1"/>
  <c r="B22" i="1"/>
  <c r="D22" i="1" s="1"/>
  <c r="B21" i="1"/>
  <c r="C21" i="1" s="1"/>
  <c r="B20" i="1"/>
  <c r="D20" i="1" s="1"/>
  <c r="B19" i="1"/>
  <c r="D19" i="1" s="1"/>
  <c r="B18" i="1"/>
  <c r="D18" i="1" s="1"/>
  <c r="B17" i="1"/>
  <c r="C17" i="1" s="1"/>
  <c r="B16" i="1"/>
  <c r="C16" i="1" s="1"/>
  <c r="B15" i="1"/>
  <c r="C15" i="1" s="1"/>
  <c r="B14" i="1"/>
  <c r="D14" i="1" s="1"/>
  <c r="B13" i="1"/>
  <c r="D13" i="1" s="1"/>
  <c r="B12" i="1"/>
  <c r="D12" i="1" s="1"/>
  <c r="B11" i="1"/>
  <c r="D11" i="1" s="1"/>
  <c r="B10" i="1"/>
  <c r="D10" i="1" s="1"/>
  <c r="B9" i="1"/>
  <c r="C9" i="1" s="1"/>
  <c r="B8" i="1"/>
  <c r="D8" i="1" s="1"/>
  <c r="B7" i="1"/>
  <c r="C7" i="1" s="1"/>
  <c r="A9" i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8" i="1"/>
  <c r="G7" i="2" l="1"/>
  <c r="D7" i="2"/>
  <c r="A9" i="2"/>
  <c r="B8" i="2"/>
  <c r="C18" i="1"/>
  <c r="C12" i="1"/>
  <c r="C19" i="1"/>
  <c r="C20" i="1"/>
  <c r="C27" i="1"/>
  <c r="C22" i="1"/>
  <c r="C11" i="1"/>
  <c r="D21" i="1"/>
  <c r="C13" i="1"/>
  <c r="C14" i="1"/>
  <c r="C10" i="1"/>
  <c r="D15" i="1"/>
  <c r="D16" i="1"/>
  <c r="D24" i="1"/>
  <c r="D17" i="1"/>
  <c r="D25" i="1"/>
  <c r="D26" i="1"/>
  <c r="C8" i="1"/>
  <c r="D7" i="1"/>
  <c r="D23" i="1"/>
  <c r="D9" i="1"/>
  <c r="C8" i="2" l="1"/>
  <c r="D8" i="2"/>
  <c r="B9" i="2"/>
  <c r="A10" i="2"/>
  <c r="C9" i="2" l="1"/>
  <c r="D9" i="2"/>
  <c r="B10" i="2"/>
  <c r="A11" i="2"/>
  <c r="C10" i="2" l="1"/>
  <c r="D10" i="2"/>
  <c r="B11" i="2"/>
  <c r="A12" i="2"/>
  <c r="D11" i="2" l="1"/>
  <c r="C11" i="2"/>
  <c r="A13" i="2"/>
  <c r="B12" i="2"/>
  <c r="D12" i="2" l="1"/>
  <c r="C12" i="2"/>
  <c r="B13" i="2"/>
  <c r="A14" i="2"/>
  <c r="D13" i="2" l="1"/>
  <c r="C13" i="2"/>
  <c r="B14" i="2"/>
  <c r="A15" i="2"/>
  <c r="C14" i="2" l="1"/>
  <c r="D14" i="2"/>
  <c r="B15" i="2"/>
  <c r="A16" i="2"/>
  <c r="C15" i="2" l="1"/>
  <c r="D15" i="2"/>
  <c r="A17" i="2"/>
  <c r="B16" i="2"/>
  <c r="C16" i="2" l="1"/>
  <c r="D16" i="2"/>
  <c r="B17" i="2"/>
  <c r="A18" i="2"/>
  <c r="C17" i="2" l="1"/>
  <c r="D17" i="2"/>
  <c r="B18" i="2"/>
  <c r="A19" i="2"/>
  <c r="C18" i="2" l="1"/>
  <c r="D18" i="2"/>
  <c r="B19" i="2"/>
  <c r="A20" i="2"/>
  <c r="D19" i="2" l="1"/>
  <c r="C19" i="2"/>
  <c r="A21" i="2"/>
  <c r="B20" i="2"/>
  <c r="D20" i="2" l="1"/>
  <c r="C20" i="2"/>
  <c r="B21" i="2"/>
  <c r="A22" i="2"/>
  <c r="D21" i="2" l="1"/>
  <c r="C21" i="2"/>
  <c r="B22" i="2"/>
  <c r="A23" i="2"/>
  <c r="C22" i="2" l="1"/>
  <c r="D22" i="2"/>
  <c r="B23" i="2"/>
  <c r="A24" i="2"/>
  <c r="C23" i="2" l="1"/>
  <c r="D23" i="2"/>
  <c r="A25" i="2"/>
  <c r="B24" i="2"/>
  <c r="C24" i="2" l="1"/>
  <c r="D24" i="2"/>
  <c r="B25" i="2"/>
  <c r="A26" i="2"/>
  <c r="C25" i="2" l="1"/>
  <c r="D25" i="2"/>
  <c r="B26" i="2"/>
  <c r="A27" i="2"/>
  <c r="C26" i="2" l="1"/>
  <c r="D26" i="2"/>
  <c r="B27" i="2"/>
  <c r="D27" i="2" l="1"/>
  <c r="C27" i="2"/>
</calcChain>
</file>

<file path=xl/sharedStrings.xml><?xml version="1.0" encoding="utf-8"?>
<sst xmlns="http://schemas.openxmlformats.org/spreadsheetml/2006/main" count="25" uniqueCount="17">
  <si>
    <t>y=x2</t>
  </si>
  <si>
    <t>a=</t>
  </si>
  <si>
    <t>b=</t>
  </si>
  <si>
    <t>c=</t>
  </si>
  <si>
    <t>x</t>
  </si>
  <si>
    <t>y</t>
  </si>
  <si>
    <t>y+c</t>
  </si>
  <si>
    <t>y-c</t>
  </si>
  <si>
    <t>f(x-c)</t>
  </si>
  <si>
    <t>f(x+c)</t>
  </si>
  <si>
    <t>Translation</t>
  </si>
  <si>
    <t>cy</t>
  </si>
  <si>
    <t>1/c*y</t>
  </si>
  <si>
    <t>y(cx)</t>
  </si>
  <si>
    <t>y(x/c)</t>
  </si>
  <si>
    <t xml:space="preserve"> -y</t>
  </si>
  <si>
    <t>y(-x)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</si>
</sst>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Sheet1!$B$6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Sheet1!$A$7:$A$27</c:f>
              <c:numCache>
                <c:formatCode>General</c:formatCode>
                <c:ptCount val="21"/>
                <c:pt idx="0">
                  <c:v>-5</c:v>
                </c:pt>
                <c:pt idx="1">
                  <c:v>-4.5</c:v>
                </c:pt>
                <c:pt idx="2">
                  <c:v>-4</c:v>
                </c:pt>
                <c:pt idx="3">
                  <c:v>-3.5</c:v>
                </c:pt>
                <c:pt idx="4">
                  <c:v>-3</c:v>
                </c:pt>
                <c:pt idx="5">
                  <c:v>-2.5</c:v>
                </c:pt>
                <c:pt idx="6">
                  <c:v>-2</c:v>
                </c:pt>
                <c:pt idx="7">
                  <c:v>-1.5</c:v>
                </c:pt>
                <c:pt idx="8">
                  <c:v>-1</c:v>
                </c:pt>
                <c:pt idx="9">
                  <c:v>-0.5</c:v>
                </c:pt>
                <c:pt idx="10">
                  <c:v>0</c:v>
                </c:pt>
                <c:pt idx="11">
                  <c:v>0.5</c:v>
                </c:pt>
                <c:pt idx="12">
                  <c:v>1</c:v>
                </c:pt>
                <c:pt idx="13">
                  <c:v>1.5</c:v>
                </c:pt>
                <c:pt idx="14">
                  <c:v>2</c:v>
                </c:pt>
                <c:pt idx="15">
                  <c:v>2.5</c:v>
                </c:pt>
                <c:pt idx="16">
                  <c:v>3</c:v>
                </c:pt>
                <c:pt idx="17">
                  <c:v>3.5</c:v>
                </c:pt>
                <c:pt idx="18">
                  <c:v>4</c:v>
                </c:pt>
                <c:pt idx="19">
                  <c:v>4.5</c:v>
                </c:pt>
                <c:pt idx="20">
                  <c:v>5</c:v>
                </c:pt>
              </c:numCache>
            </c:numRef>
          </c:xVal>
          <c:yVal>
            <c:numRef>
              <c:f>Sheet1!$B$7:$B$27</c:f>
              <c:numCache>
                <c:formatCode>General</c:formatCode>
                <c:ptCount val="21"/>
                <c:pt idx="0">
                  <c:v>25</c:v>
                </c:pt>
                <c:pt idx="1">
                  <c:v>20.25</c:v>
                </c:pt>
                <c:pt idx="2">
                  <c:v>16</c:v>
                </c:pt>
                <c:pt idx="3">
                  <c:v>12.25</c:v>
                </c:pt>
                <c:pt idx="4">
                  <c:v>9</c:v>
                </c:pt>
                <c:pt idx="5">
                  <c:v>6.25</c:v>
                </c:pt>
                <c:pt idx="6">
                  <c:v>4</c:v>
                </c:pt>
                <c:pt idx="7">
                  <c:v>2.25</c:v>
                </c:pt>
                <c:pt idx="8">
                  <c:v>1</c:v>
                </c:pt>
                <c:pt idx="9">
                  <c:v>0.25</c:v>
                </c:pt>
                <c:pt idx="10">
                  <c:v>0</c:v>
                </c:pt>
                <c:pt idx="11">
                  <c:v>0.25</c:v>
                </c:pt>
                <c:pt idx="12">
                  <c:v>1</c:v>
                </c:pt>
                <c:pt idx="13">
                  <c:v>2.25</c:v>
                </c:pt>
                <c:pt idx="14">
                  <c:v>4</c:v>
                </c:pt>
                <c:pt idx="15">
                  <c:v>6.25</c:v>
                </c:pt>
                <c:pt idx="16">
                  <c:v>9</c:v>
                </c:pt>
                <c:pt idx="17">
                  <c:v>12.25</c:v>
                </c:pt>
                <c:pt idx="18">
                  <c:v>16</c:v>
                </c:pt>
                <c:pt idx="19">
                  <c:v>20.25</c:v>
                </c:pt>
                <c:pt idx="20">
                  <c:v>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A46-455B-BEB1-19CE30B36B77}"/>
            </c:ext>
          </c:extLst>
        </c:ser>
        <c:ser>
          <c:idx val="1"/>
          <c:order val="1"/>
          <c:tx>
            <c:v>y+c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Sheet1!$A$7:$A$27</c:f>
              <c:numCache>
                <c:formatCode>General</c:formatCode>
                <c:ptCount val="21"/>
                <c:pt idx="0">
                  <c:v>-5</c:v>
                </c:pt>
                <c:pt idx="1">
                  <c:v>-4.5</c:v>
                </c:pt>
                <c:pt idx="2">
                  <c:v>-4</c:v>
                </c:pt>
                <c:pt idx="3">
                  <c:v>-3.5</c:v>
                </c:pt>
                <c:pt idx="4">
                  <c:v>-3</c:v>
                </c:pt>
                <c:pt idx="5">
                  <c:v>-2.5</c:v>
                </c:pt>
                <c:pt idx="6">
                  <c:v>-2</c:v>
                </c:pt>
                <c:pt idx="7">
                  <c:v>-1.5</c:v>
                </c:pt>
                <c:pt idx="8">
                  <c:v>-1</c:v>
                </c:pt>
                <c:pt idx="9">
                  <c:v>-0.5</c:v>
                </c:pt>
                <c:pt idx="10">
                  <c:v>0</c:v>
                </c:pt>
                <c:pt idx="11">
                  <c:v>0.5</c:v>
                </c:pt>
                <c:pt idx="12">
                  <c:v>1</c:v>
                </c:pt>
                <c:pt idx="13">
                  <c:v>1.5</c:v>
                </c:pt>
                <c:pt idx="14">
                  <c:v>2</c:v>
                </c:pt>
                <c:pt idx="15">
                  <c:v>2.5</c:v>
                </c:pt>
                <c:pt idx="16">
                  <c:v>3</c:v>
                </c:pt>
                <c:pt idx="17">
                  <c:v>3.5</c:v>
                </c:pt>
                <c:pt idx="18">
                  <c:v>4</c:v>
                </c:pt>
                <c:pt idx="19">
                  <c:v>4.5</c:v>
                </c:pt>
                <c:pt idx="20">
                  <c:v>5</c:v>
                </c:pt>
              </c:numCache>
            </c:numRef>
          </c:xVal>
          <c:yVal>
            <c:numRef>
              <c:f>Sheet1!$C$7:$C$27</c:f>
              <c:numCache>
                <c:formatCode>General</c:formatCode>
                <c:ptCount val="21"/>
                <c:pt idx="0">
                  <c:v>27</c:v>
                </c:pt>
                <c:pt idx="1">
                  <c:v>22.25</c:v>
                </c:pt>
                <c:pt idx="2">
                  <c:v>18</c:v>
                </c:pt>
                <c:pt idx="3">
                  <c:v>14.25</c:v>
                </c:pt>
                <c:pt idx="4">
                  <c:v>11</c:v>
                </c:pt>
                <c:pt idx="5">
                  <c:v>8.25</c:v>
                </c:pt>
                <c:pt idx="6">
                  <c:v>6</c:v>
                </c:pt>
                <c:pt idx="7">
                  <c:v>4.25</c:v>
                </c:pt>
                <c:pt idx="8">
                  <c:v>3</c:v>
                </c:pt>
                <c:pt idx="9">
                  <c:v>2.25</c:v>
                </c:pt>
                <c:pt idx="10">
                  <c:v>2</c:v>
                </c:pt>
                <c:pt idx="11">
                  <c:v>2.25</c:v>
                </c:pt>
                <c:pt idx="12">
                  <c:v>3</c:v>
                </c:pt>
                <c:pt idx="13">
                  <c:v>4.25</c:v>
                </c:pt>
                <c:pt idx="14">
                  <c:v>6</c:v>
                </c:pt>
                <c:pt idx="15">
                  <c:v>8.25</c:v>
                </c:pt>
                <c:pt idx="16">
                  <c:v>11</c:v>
                </c:pt>
                <c:pt idx="17">
                  <c:v>14.25</c:v>
                </c:pt>
                <c:pt idx="18">
                  <c:v>18</c:v>
                </c:pt>
                <c:pt idx="19">
                  <c:v>22.25</c:v>
                </c:pt>
                <c:pt idx="20">
                  <c:v>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A46-455B-BEB1-19CE30B36B77}"/>
            </c:ext>
          </c:extLst>
        </c:ser>
        <c:ser>
          <c:idx val="2"/>
          <c:order val="2"/>
          <c:tx>
            <c:strRef>
              <c:f>Sheet1!$D$6</c:f>
              <c:strCache>
                <c:ptCount val="1"/>
                <c:pt idx="0">
                  <c:v>y-c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Sheet1!$A$7:$A$27</c:f>
              <c:numCache>
                <c:formatCode>General</c:formatCode>
                <c:ptCount val="21"/>
                <c:pt idx="0">
                  <c:v>-5</c:v>
                </c:pt>
                <c:pt idx="1">
                  <c:v>-4.5</c:v>
                </c:pt>
                <c:pt idx="2">
                  <c:v>-4</c:v>
                </c:pt>
                <c:pt idx="3">
                  <c:v>-3.5</c:v>
                </c:pt>
                <c:pt idx="4">
                  <c:v>-3</c:v>
                </c:pt>
                <c:pt idx="5">
                  <c:v>-2.5</c:v>
                </c:pt>
                <c:pt idx="6">
                  <c:v>-2</c:v>
                </c:pt>
                <c:pt idx="7">
                  <c:v>-1.5</c:v>
                </c:pt>
                <c:pt idx="8">
                  <c:v>-1</c:v>
                </c:pt>
                <c:pt idx="9">
                  <c:v>-0.5</c:v>
                </c:pt>
                <c:pt idx="10">
                  <c:v>0</c:v>
                </c:pt>
                <c:pt idx="11">
                  <c:v>0.5</c:v>
                </c:pt>
                <c:pt idx="12">
                  <c:v>1</c:v>
                </c:pt>
                <c:pt idx="13">
                  <c:v>1.5</c:v>
                </c:pt>
                <c:pt idx="14">
                  <c:v>2</c:v>
                </c:pt>
                <c:pt idx="15">
                  <c:v>2.5</c:v>
                </c:pt>
                <c:pt idx="16">
                  <c:v>3</c:v>
                </c:pt>
                <c:pt idx="17">
                  <c:v>3.5</c:v>
                </c:pt>
                <c:pt idx="18">
                  <c:v>4</c:v>
                </c:pt>
                <c:pt idx="19">
                  <c:v>4.5</c:v>
                </c:pt>
                <c:pt idx="20">
                  <c:v>5</c:v>
                </c:pt>
              </c:numCache>
            </c:numRef>
          </c:xVal>
          <c:yVal>
            <c:numRef>
              <c:f>Sheet1!$D$7:$D$27</c:f>
              <c:numCache>
                <c:formatCode>General</c:formatCode>
                <c:ptCount val="21"/>
                <c:pt idx="0">
                  <c:v>23</c:v>
                </c:pt>
                <c:pt idx="1">
                  <c:v>18.25</c:v>
                </c:pt>
                <c:pt idx="2">
                  <c:v>14</c:v>
                </c:pt>
                <c:pt idx="3">
                  <c:v>10.25</c:v>
                </c:pt>
                <c:pt idx="4">
                  <c:v>7</c:v>
                </c:pt>
                <c:pt idx="5">
                  <c:v>4.25</c:v>
                </c:pt>
                <c:pt idx="6">
                  <c:v>2</c:v>
                </c:pt>
                <c:pt idx="7">
                  <c:v>0.25</c:v>
                </c:pt>
                <c:pt idx="8">
                  <c:v>-1</c:v>
                </c:pt>
                <c:pt idx="9">
                  <c:v>-1.75</c:v>
                </c:pt>
                <c:pt idx="10">
                  <c:v>-2</c:v>
                </c:pt>
                <c:pt idx="11">
                  <c:v>-1.75</c:v>
                </c:pt>
                <c:pt idx="12">
                  <c:v>-1</c:v>
                </c:pt>
                <c:pt idx="13">
                  <c:v>0.25</c:v>
                </c:pt>
                <c:pt idx="14">
                  <c:v>2</c:v>
                </c:pt>
                <c:pt idx="15">
                  <c:v>4.25</c:v>
                </c:pt>
                <c:pt idx="16">
                  <c:v>7</c:v>
                </c:pt>
                <c:pt idx="17">
                  <c:v>10.25</c:v>
                </c:pt>
                <c:pt idx="18">
                  <c:v>14</c:v>
                </c:pt>
                <c:pt idx="19">
                  <c:v>18.25</c:v>
                </c:pt>
                <c:pt idx="20">
                  <c:v>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A46-455B-BEB1-19CE30B36B77}"/>
            </c:ext>
          </c:extLst>
        </c:ser>
        <c:ser>
          <c:idx val="3"/>
          <c:order val="3"/>
          <c:tx>
            <c:strRef>
              <c:f>Sheet1!$E$6</c:f>
              <c:strCache>
                <c:ptCount val="1"/>
                <c:pt idx="0">
                  <c:v>f(x-c)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Sheet1!$A$7:$A$27</c:f>
              <c:numCache>
                <c:formatCode>General</c:formatCode>
                <c:ptCount val="21"/>
                <c:pt idx="0">
                  <c:v>-5</c:v>
                </c:pt>
                <c:pt idx="1">
                  <c:v>-4.5</c:v>
                </c:pt>
                <c:pt idx="2">
                  <c:v>-4</c:v>
                </c:pt>
                <c:pt idx="3">
                  <c:v>-3.5</c:v>
                </c:pt>
                <c:pt idx="4">
                  <c:v>-3</c:v>
                </c:pt>
                <c:pt idx="5">
                  <c:v>-2.5</c:v>
                </c:pt>
                <c:pt idx="6">
                  <c:v>-2</c:v>
                </c:pt>
                <c:pt idx="7">
                  <c:v>-1.5</c:v>
                </c:pt>
                <c:pt idx="8">
                  <c:v>-1</c:v>
                </c:pt>
                <c:pt idx="9">
                  <c:v>-0.5</c:v>
                </c:pt>
                <c:pt idx="10">
                  <c:v>0</c:v>
                </c:pt>
                <c:pt idx="11">
                  <c:v>0.5</c:v>
                </c:pt>
                <c:pt idx="12">
                  <c:v>1</c:v>
                </c:pt>
                <c:pt idx="13">
                  <c:v>1.5</c:v>
                </c:pt>
                <c:pt idx="14">
                  <c:v>2</c:v>
                </c:pt>
                <c:pt idx="15">
                  <c:v>2.5</c:v>
                </c:pt>
                <c:pt idx="16">
                  <c:v>3</c:v>
                </c:pt>
                <c:pt idx="17">
                  <c:v>3.5</c:v>
                </c:pt>
                <c:pt idx="18">
                  <c:v>4</c:v>
                </c:pt>
                <c:pt idx="19">
                  <c:v>4.5</c:v>
                </c:pt>
                <c:pt idx="20">
                  <c:v>5</c:v>
                </c:pt>
              </c:numCache>
            </c:numRef>
          </c:xVal>
          <c:yVal>
            <c:numRef>
              <c:f>Sheet1!$E$7:$E$27</c:f>
              <c:numCache>
                <c:formatCode>General</c:formatCode>
                <c:ptCount val="21"/>
                <c:pt idx="0">
                  <c:v>49</c:v>
                </c:pt>
                <c:pt idx="1">
                  <c:v>42.25</c:v>
                </c:pt>
                <c:pt idx="2">
                  <c:v>36</c:v>
                </c:pt>
                <c:pt idx="3">
                  <c:v>30.25</c:v>
                </c:pt>
                <c:pt idx="4">
                  <c:v>25</c:v>
                </c:pt>
                <c:pt idx="5">
                  <c:v>20.25</c:v>
                </c:pt>
                <c:pt idx="6">
                  <c:v>16</c:v>
                </c:pt>
                <c:pt idx="7">
                  <c:v>12.25</c:v>
                </c:pt>
                <c:pt idx="8">
                  <c:v>9</c:v>
                </c:pt>
                <c:pt idx="9">
                  <c:v>6.25</c:v>
                </c:pt>
                <c:pt idx="10">
                  <c:v>4</c:v>
                </c:pt>
                <c:pt idx="11">
                  <c:v>2.25</c:v>
                </c:pt>
                <c:pt idx="12">
                  <c:v>1</c:v>
                </c:pt>
                <c:pt idx="13">
                  <c:v>0.25</c:v>
                </c:pt>
                <c:pt idx="14">
                  <c:v>0</c:v>
                </c:pt>
                <c:pt idx="15">
                  <c:v>0.25</c:v>
                </c:pt>
                <c:pt idx="16">
                  <c:v>1</c:v>
                </c:pt>
                <c:pt idx="17">
                  <c:v>2.25</c:v>
                </c:pt>
                <c:pt idx="18">
                  <c:v>4</c:v>
                </c:pt>
                <c:pt idx="19">
                  <c:v>6.25</c:v>
                </c:pt>
                <c:pt idx="20">
                  <c:v>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A46-455B-BEB1-19CE30B36B77}"/>
            </c:ext>
          </c:extLst>
        </c:ser>
        <c:ser>
          <c:idx val="4"/>
          <c:order val="4"/>
          <c:tx>
            <c:strRef>
              <c:f>Sheet1!$F$6</c:f>
              <c:strCache>
                <c:ptCount val="1"/>
                <c:pt idx="0">
                  <c:v>f(x+c)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Sheet1!$A$7:$A$27</c:f>
              <c:numCache>
                <c:formatCode>General</c:formatCode>
                <c:ptCount val="21"/>
                <c:pt idx="0">
                  <c:v>-5</c:v>
                </c:pt>
                <c:pt idx="1">
                  <c:v>-4.5</c:v>
                </c:pt>
                <c:pt idx="2">
                  <c:v>-4</c:v>
                </c:pt>
                <c:pt idx="3">
                  <c:v>-3.5</c:v>
                </c:pt>
                <c:pt idx="4">
                  <c:v>-3</c:v>
                </c:pt>
                <c:pt idx="5">
                  <c:v>-2.5</c:v>
                </c:pt>
                <c:pt idx="6">
                  <c:v>-2</c:v>
                </c:pt>
                <c:pt idx="7">
                  <c:v>-1.5</c:v>
                </c:pt>
                <c:pt idx="8">
                  <c:v>-1</c:v>
                </c:pt>
                <c:pt idx="9">
                  <c:v>-0.5</c:v>
                </c:pt>
                <c:pt idx="10">
                  <c:v>0</c:v>
                </c:pt>
                <c:pt idx="11">
                  <c:v>0.5</c:v>
                </c:pt>
                <c:pt idx="12">
                  <c:v>1</c:v>
                </c:pt>
                <c:pt idx="13">
                  <c:v>1.5</c:v>
                </c:pt>
                <c:pt idx="14">
                  <c:v>2</c:v>
                </c:pt>
                <c:pt idx="15">
                  <c:v>2.5</c:v>
                </c:pt>
                <c:pt idx="16">
                  <c:v>3</c:v>
                </c:pt>
                <c:pt idx="17">
                  <c:v>3.5</c:v>
                </c:pt>
                <c:pt idx="18">
                  <c:v>4</c:v>
                </c:pt>
                <c:pt idx="19">
                  <c:v>4.5</c:v>
                </c:pt>
                <c:pt idx="20">
                  <c:v>5</c:v>
                </c:pt>
              </c:numCache>
            </c:numRef>
          </c:xVal>
          <c:yVal>
            <c:numRef>
              <c:f>Sheet1!$F$7:$F$27</c:f>
              <c:numCache>
                <c:formatCode>General</c:formatCode>
                <c:ptCount val="21"/>
                <c:pt idx="0">
                  <c:v>9</c:v>
                </c:pt>
                <c:pt idx="1">
                  <c:v>6.25</c:v>
                </c:pt>
                <c:pt idx="2">
                  <c:v>4</c:v>
                </c:pt>
                <c:pt idx="3">
                  <c:v>2.25</c:v>
                </c:pt>
                <c:pt idx="4">
                  <c:v>1</c:v>
                </c:pt>
                <c:pt idx="5">
                  <c:v>0.25</c:v>
                </c:pt>
                <c:pt idx="6">
                  <c:v>0</c:v>
                </c:pt>
                <c:pt idx="7">
                  <c:v>0.25</c:v>
                </c:pt>
                <c:pt idx="8">
                  <c:v>1</c:v>
                </c:pt>
                <c:pt idx="9">
                  <c:v>2.25</c:v>
                </c:pt>
                <c:pt idx="10">
                  <c:v>4</c:v>
                </c:pt>
                <c:pt idx="11">
                  <c:v>6.25</c:v>
                </c:pt>
                <c:pt idx="12">
                  <c:v>9</c:v>
                </c:pt>
                <c:pt idx="13">
                  <c:v>12.25</c:v>
                </c:pt>
                <c:pt idx="14">
                  <c:v>16</c:v>
                </c:pt>
                <c:pt idx="15">
                  <c:v>20.25</c:v>
                </c:pt>
                <c:pt idx="16">
                  <c:v>25</c:v>
                </c:pt>
                <c:pt idx="17">
                  <c:v>30.25</c:v>
                </c:pt>
                <c:pt idx="18">
                  <c:v>36</c:v>
                </c:pt>
                <c:pt idx="19">
                  <c:v>42.25</c:v>
                </c:pt>
                <c:pt idx="20">
                  <c:v>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A46-455B-BEB1-19CE30B36B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3957391"/>
        <c:axId val="1163959791"/>
      </c:scatterChart>
      <c:valAx>
        <c:axId val="11639573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3959791"/>
        <c:crosses val="autoZero"/>
        <c:crossBetween val="midCat"/>
      </c:valAx>
      <c:valAx>
        <c:axId val="1163959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39573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Sheet2!$B$6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Sheet2!$A$7:$A$27</c:f>
              <c:numCache>
                <c:formatCode>General</c:formatCode>
                <c:ptCount val="21"/>
                <c:pt idx="0">
                  <c:v>-5</c:v>
                </c:pt>
                <c:pt idx="1">
                  <c:v>-4.5</c:v>
                </c:pt>
                <c:pt idx="2">
                  <c:v>-4</c:v>
                </c:pt>
                <c:pt idx="3">
                  <c:v>-3.5</c:v>
                </c:pt>
                <c:pt idx="4">
                  <c:v>-3</c:v>
                </c:pt>
                <c:pt idx="5">
                  <c:v>-2.5</c:v>
                </c:pt>
                <c:pt idx="6">
                  <c:v>-2</c:v>
                </c:pt>
                <c:pt idx="7">
                  <c:v>-1.5</c:v>
                </c:pt>
                <c:pt idx="8">
                  <c:v>-1</c:v>
                </c:pt>
                <c:pt idx="9">
                  <c:v>-0.5</c:v>
                </c:pt>
                <c:pt idx="10">
                  <c:v>0</c:v>
                </c:pt>
                <c:pt idx="11">
                  <c:v>0.5</c:v>
                </c:pt>
                <c:pt idx="12">
                  <c:v>1</c:v>
                </c:pt>
                <c:pt idx="13">
                  <c:v>1.5</c:v>
                </c:pt>
                <c:pt idx="14">
                  <c:v>2</c:v>
                </c:pt>
                <c:pt idx="15">
                  <c:v>2.5</c:v>
                </c:pt>
                <c:pt idx="16">
                  <c:v>3</c:v>
                </c:pt>
                <c:pt idx="17">
                  <c:v>3.5</c:v>
                </c:pt>
                <c:pt idx="18">
                  <c:v>4</c:v>
                </c:pt>
                <c:pt idx="19">
                  <c:v>4.5</c:v>
                </c:pt>
                <c:pt idx="20">
                  <c:v>5</c:v>
                </c:pt>
              </c:numCache>
            </c:numRef>
          </c:xVal>
          <c:yVal>
            <c:numRef>
              <c:f>Sheet2!$B$7:$B$27</c:f>
              <c:numCache>
                <c:formatCode>General</c:formatCode>
                <c:ptCount val="21"/>
                <c:pt idx="0">
                  <c:v>25</c:v>
                </c:pt>
                <c:pt idx="1">
                  <c:v>20.25</c:v>
                </c:pt>
                <c:pt idx="2">
                  <c:v>16</c:v>
                </c:pt>
                <c:pt idx="3">
                  <c:v>12.25</c:v>
                </c:pt>
                <c:pt idx="4">
                  <c:v>9</c:v>
                </c:pt>
                <c:pt idx="5">
                  <c:v>6.25</c:v>
                </c:pt>
                <c:pt idx="6">
                  <c:v>4</c:v>
                </c:pt>
                <c:pt idx="7">
                  <c:v>2.25</c:v>
                </c:pt>
                <c:pt idx="8">
                  <c:v>1</c:v>
                </c:pt>
                <c:pt idx="9">
                  <c:v>0.25</c:v>
                </c:pt>
                <c:pt idx="10">
                  <c:v>0</c:v>
                </c:pt>
                <c:pt idx="11">
                  <c:v>0.25</c:v>
                </c:pt>
                <c:pt idx="12">
                  <c:v>1</c:v>
                </c:pt>
                <c:pt idx="13">
                  <c:v>2.25</c:v>
                </c:pt>
                <c:pt idx="14">
                  <c:v>4</c:v>
                </c:pt>
                <c:pt idx="15">
                  <c:v>6.25</c:v>
                </c:pt>
                <c:pt idx="16">
                  <c:v>9</c:v>
                </c:pt>
                <c:pt idx="17">
                  <c:v>12.25</c:v>
                </c:pt>
                <c:pt idx="18">
                  <c:v>16</c:v>
                </c:pt>
                <c:pt idx="19">
                  <c:v>20.25</c:v>
                </c:pt>
                <c:pt idx="20">
                  <c:v>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ABB-44A0-8731-B263D4290ED9}"/>
            </c:ext>
          </c:extLst>
        </c:ser>
        <c:ser>
          <c:idx val="1"/>
          <c:order val="1"/>
          <c:tx>
            <c:strRef>
              <c:f>Sheet2!$C$6</c:f>
              <c:strCache>
                <c:ptCount val="1"/>
                <c:pt idx="0">
                  <c:v>cy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Sheet2!$A$7:$A$27</c:f>
              <c:numCache>
                <c:formatCode>General</c:formatCode>
                <c:ptCount val="21"/>
                <c:pt idx="0">
                  <c:v>-5</c:v>
                </c:pt>
                <c:pt idx="1">
                  <c:v>-4.5</c:v>
                </c:pt>
                <c:pt idx="2">
                  <c:v>-4</c:v>
                </c:pt>
                <c:pt idx="3">
                  <c:v>-3.5</c:v>
                </c:pt>
                <c:pt idx="4">
                  <c:v>-3</c:v>
                </c:pt>
                <c:pt idx="5">
                  <c:v>-2.5</c:v>
                </c:pt>
                <c:pt idx="6">
                  <c:v>-2</c:v>
                </c:pt>
                <c:pt idx="7">
                  <c:v>-1.5</c:v>
                </c:pt>
                <c:pt idx="8">
                  <c:v>-1</c:v>
                </c:pt>
                <c:pt idx="9">
                  <c:v>-0.5</c:v>
                </c:pt>
                <c:pt idx="10">
                  <c:v>0</c:v>
                </c:pt>
                <c:pt idx="11">
                  <c:v>0.5</c:v>
                </c:pt>
                <c:pt idx="12">
                  <c:v>1</c:v>
                </c:pt>
                <c:pt idx="13">
                  <c:v>1.5</c:v>
                </c:pt>
                <c:pt idx="14">
                  <c:v>2</c:v>
                </c:pt>
                <c:pt idx="15">
                  <c:v>2.5</c:v>
                </c:pt>
                <c:pt idx="16">
                  <c:v>3</c:v>
                </c:pt>
                <c:pt idx="17">
                  <c:v>3.5</c:v>
                </c:pt>
                <c:pt idx="18">
                  <c:v>4</c:v>
                </c:pt>
                <c:pt idx="19">
                  <c:v>4.5</c:v>
                </c:pt>
                <c:pt idx="20">
                  <c:v>5</c:v>
                </c:pt>
              </c:numCache>
            </c:numRef>
          </c:xVal>
          <c:yVal>
            <c:numRef>
              <c:f>Sheet2!$C$7:$C$27</c:f>
              <c:numCache>
                <c:formatCode>General</c:formatCode>
                <c:ptCount val="21"/>
                <c:pt idx="0">
                  <c:v>37.5</c:v>
                </c:pt>
                <c:pt idx="1">
                  <c:v>30.375</c:v>
                </c:pt>
                <c:pt idx="2">
                  <c:v>24</c:v>
                </c:pt>
                <c:pt idx="3">
                  <c:v>18.375</c:v>
                </c:pt>
                <c:pt idx="4">
                  <c:v>13.5</c:v>
                </c:pt>
                <c:pt idx="5">
                  <c:v>9.375</c:v>
                </c:pt>
                <c:pt idx="6">
                  <c:v>6</c:v>
                </c:pt>
                <c:pt idx="7">
                  <c:v>3.375</c:v>
                </c:pt>
                <c:pt idx="8">
                  <c:v>1.5</c:v>
                </c:pt>
                <c:pt idx="9">
                  <c:v>0.375</c:v>
                </c:pt>
                <c:pt idx="10">
                  <c:v>0</c:v>
                </c:pt>
                <c:pt idx="11">
                  <c:v>0.375</c:v>
                </c:pt>
                <c:pt idx="12">
                  <c:v>1.5</c:v>
                </c:pt>
                <c:pt idx="13">
                  <c:v>3.375</c:v>
                </c:pt>
                <c:pt idx="14">
                  <c:v>6</c:v>
                </c:pt>
                <c:pt idx="15">
                  <c:v>9.375</c:v>
                </c:pt>
                <c:pt idx="16">
                  <c:v>13.5</c:v>
                </c:pt>
                <c:pt idx="17">
                  <c:v>18.375</c:v>
                </c:pt>
                <c:pt idx="18">
                  <c:v>24</c:v>
                </c:pt>
                <c:pt idx="19">
                  <c:v>30.375</c:v>
                </c:pt>
                <c:pt idx="20">
                  <c:v>37.5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ABB-44A0-8731-B263D4290ED9}"/>
            </c:ext>
          </c:extLst>
        </c:ser>
        <c:ser>
          <c:idx val="2"/>
          <c:order val="2"/>
          <c:tx>
            <c:strRef>
              <c:f>Sheet2!$D$6</c:f>
              <c:strCache>
                <c:ptCount val="1"/>
                <c:pt idx="0">
                  <c:v>1/c*y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Sheet2!$A$7:$A$27</c:f>
              <c:numCache>
                <c:formatCode>General</c:formatCode>
                <c:ptCount val="21"/>
                <c:pt idx="0">
                  <c:v>-5</c:v>
                </c:pt>
                <c:pt idx="1">
                  <c:v>-4.5</c:v>
                </c:pt>
                <c:pt idx="2">
                  <c:v>-4</c:v>
                </c:pt>
                <c:pt idx="3">
                  <c:v>-3.5</c:v>
                </c:pt>
                <c:pt idx="4">
                  <c:v>-3</c:v>
                </c:pt>
                <c:pt idx="5">
                  <c:v>-2.5</c:v>
                </c:pt>
                <c:pt idx="6">
                  <c:v>-2</c:v>
                </c:pt>
                <c:pt idx="7">
                  <c:v>-1.5</c:v>
                </c:pt>
                <c:pt idx="8">
                  <c:v>-1</c:v>
                </c:pt>
                <c:pt idx="9">
                  <c:v>-0.5</c:v>
                </c:pt>
                <c:pt idx="10">
                  <c:v>0</c:v>
                </c:pt>
                <c:pt idx="11">
                  <c:v>0.5</c:v>
                </c:pt>
                <c:pt idx="12">
                  <c:v>1</c:v>
                </c:pt>
                <c:pt idx="13">
                  <c:v>1.5</c:v>
                </c:pt>
                <c:pt idx="14">
                  <c:v>2</c:v>
                </c:pt>
                <c:pt idx="15">
                  <c:v>2.5</c:v>
                </c:pt>
                <c:pt idx="16">
                  <c:v>3</c:v>
                </c:pt>
                <c:pt idx="17">
                  <c:v>3.5</c:v>
                </c:pt>
                <c:pt idx="18">
                  <c:v>4</c:v>
                </c:pt>
                <c:pt idx="19">
                  <c:v>4.5</c:v>
                </c:pt>
                <c:pt idx="20">
                  <c:v>5</c:v>
                </c:pt>
              </c:numCache>
            </c:numRef>
          </c:xVal>
          <c:yVal>
            <c:numRef>
              <c:f>Sheet2!$D$7:$D$27</c:f>
              <c:numCache>
                <c:formatCode>General</c:formatCode>
                <c:ptCount val="21"/>
                <c:pt idx="0">
                  <c:v>16.666666666666668</c:v>
                </c:pt>
                <c:pt idx="1">
                  <c:v>13.5</c:v>
                </c:pt>
                <c:pt idx="2">
                  <c:v>10.666666666666666</c:v>
                </c:pt>
                <c:pt idx="3">
                  <c:v>8.1666666666666661</c:v>
                </c:pt>
                <c:pt idx="4">
                  <c:v>6</c:v>
                </c:pt>
                <c:pt idx="5">
                  <c:v>4.166666666666667</c:v>
                </c:pt>
                <c:pt idx="6">
                  <c:v>2.6666666666666665</c:v>
                </c:pt>
                <c:pt idx="7">
                  <c:v>1.5</c:v>
                </c:pt>
                <c:pt idx="8">
                  <c:v>0.66666666666666663</c:v>
                </c:pt>
                <c:pt idx="9">
                  <c:v>0.16666666666666666</c:v>
                </c:pt>
                <c:pt idx="10">
                  <c:v>0</c:v>
                </c:pt>
                <c:pt idx="11">
                  <c:v>0.16666666666666666</c:v>
                </c:pt>
                <c:pt idx="12">
                  <c:v>0.66666666666666663</c:v>
                </c:pt>
                <c:pt idx="13">
                  <c:v>1.5</c:v>
                </c:pt>
                <c:pt idx="14">
                  <c:v>2.6666666666666665</c:v>
                </c:pt>
                <c:pt idx="15">
                  <c:v>4.166666666666667</c:v>
                </c:pt>
                <c:pt idx="16">
                  <c:v>6</c:v>
                </c:pt>
                <c:pt idx="17">
                  <c:v>8.1666666666666661</c:v>
                </c:pt>
                <c:pt idx="18">
                  <c:v>10.666666666666666</c:v>
                </c:pt>
                <c:pt idx="19">
                  <c:v>13.5</c:v>
                </c:pt>
                <c:pt idx="20">
                  <c:v>16.666666666666668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ABB-44A0-8731-B263D4290ED9}"/>
            </c:ext>
          </c:extLst>
        </c:ser>
        <c:ser>
          <c:idx val="3"/>
          <c:order val="3"/>
          <c:tx>
            <c:strRef>
              <c:f>Sheet2!$E$6</c:f>
              <c:strCache>
                <c:ptCount val="1"/>
                <c:pt idx="0">
                  <c:v>y(cx)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Sheet2!$A$7:$A$27</c:f>
              <c:numCache>
                <c:formatCode>General</c:formatCode>
                <c:ptCount val="21"/>
                <c:pt idx="0">
                  <c:v>-5</c:v>
                </c:pt>
                <c:pt idx="1">
                  <c:v>-4.5</c:v>
                </c:pt>
                <c:pt idx="2">
                  <c:v>-4</c:v>
                </c:pt>
                <c:pt idx="3">
                  <c:v>-3.5</c:v>
                </c:pt>
                <c:pt idx="4">
                  <c:v>-3</c:v>
                </c:pt>
                <c:pt idx="5">
                  <c:v>-2.5</c:v>
                </c:pt>
                <c:pt idx="6">
                  <c:v>-2</c:v>
                </c:pt>
                <c:pt idx="7">
                  <c:v>-1.5</c:v>
                </c:pt>
                <c:pt idx="8">
                  <c:v>-1</c:v>
                </c:pt>
                <c:pt idx="9">
                  <c:v>-0.5</c:v>
                </c:pt>
                <c:pt idx="10">
                  <c:v>0</c:v>
                </c:pt>
                <c:pt idx="11">
                  <c:v>0.5</c:v>
                </c:pt>
                <c:pt idx="12">
                  <c:v>1</c:v>
                </c:pt>
                <c:pt idx="13">
                  <c:v>1.5</c:v>
                </c:pt>
                <c:pt idx="14">
                  <c:v>2</c:v>
                </c:pt>
                <c:pt idx="15">
                  <c:v>2.5</c:v>
                </c:pt>
                <c:pt idx="16">
                  <c:v>3</c:v>
                </c:pt>
                <c:pt idx="17">
                  <c:v>3.5</c:v>
                </c:pt>
                <c:pt idx="18">
                  <c:v>4</c:v>
                </c:pt>
                <c:pt idx="19">
                  <c:v>4.5</c:v>
                </c:pt>
                <c:pt idx="20">
                  <c:v>5</c:v>
                </c:pt>
              </c:numCache>
            </c:numRef>
          </c:xVal>
          <c:yVal>
            <c:numRef>
              <c:f>Sheet2!$E$7:$E$27</c:f>
              <c:numCache>
                <c:formatCode>General</c:formatCode>
                <c:ptCount val="21"/>
                <c:pt idx="0">
                  <c:v>56.25</c:v>
                </c:pt>
                <c:pt idx="1">
                  <c:v>45.5625</c:v>
                </c:pt>
                <c:pt idx="2">
                  <c:v>36</c:v>
                </c:pt>
                <c:pt idx="3">
                  <c:v>27.5625</c:v>
                </c:pt>
                <c:pt idx="4">
                  <c:v>20.25</c:v>
                </c:pt>
                <c:pt idx="5">
                  <c:v>14.0625</c:v>
                </c:pt>
                <c:pt idx="6">
                  <c:v>9</c:v>
                </c:pt>
                <c:pt idx="7">
                  <c:v>5.0625</c:v>
                </c:pt>
                <c:pt idx="8">
                  <c:v>2.25</c:v>
                </c:pt>
                <c:pt idx="9">
                  <c:v>0.5625</c:v>
                </c:pt>
                <c:pt idx="10">
                  <c:v>0</c:v>
                </c:pt>
                <c:pt idx="11">
                  <c:v>0.5625</c:v>
                </c:pt>
                <c:pt idx="12">
                  <c:v>2.25</c:v>
                </c:pt>
                <c:pt idx="13">
                  <c:v>5.0625</c:v>
                </c:pt>
                <c:pt idx="14">
                  <c:v>9</c:v>
                </c:pt>
                <c:pt idx="15">
                  <c:v>14.0625</c:v>
                </c:pt>
                <c:pt idx="16">
                  <c:v>20.25</c:v>
                </c:pt>
                <c:pt idx="17">
                  <c:v>27.5625</c:v>
                </c:pt>
                <c:pt idx="18">
                  <c:v>36</c:v>
                </c:pt>
                <c:pt idx="19">
                  <c:v>45.5625</c:v>
                </c:pt>
                <c:pt idx="20">
                  <c:v>56.25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ABB-44A0-8731-B263D4290ED9}"/>
            </c:ext>
          </c:extLst>
        </c:ser>
        <c:ser>
          <c:idx val="4"/>
          <c:order val="4"/>
          <c:tx>
            <c:strRef>
              <c:f>Sheet2!$F$6</c:f>
              <c:strCache>
                <c:ptCount val="1"/>
                <c:pt idx="0">
                  <c:v>y(x/c)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Sheet2!$A$7:$A$27</c:f>
              <c:numCache>
                <c:formatCode>General</c:formatCode>
                <c:ptCount val="21"/>
                <c:pt idx="0">
                  <c:v>-5</c:v>
                </c:pt>
                <c:pt idx="1">
                  <c:v>-4.5</c:v>
                </c:pt>
                <c:pt idx="2">
                  <c:v>-4</c:v>
                </c:pt>
                <c:pt idx="3">
                  <c:v>-3.5</c:v>
                </c:pt>
                <c:pt idx="4">
                  <c:v>-3</c:v>
                </c:pt>
                <c:pt idx="5">
                  <c:v>-2.5</c:v>
                </c:pt>
                <c:pt idx="6">
                  <c:v>-2</c:v>
                </c:pt>
                <c:pt idx="7">
                  <c:v>-1.5</c:v>
                </c:pt>
                <c:pt idx="8">
                  <c:v>-1</c:v>
                </c:pt>
                <c:pt idx="9">
                  <c:v>-0.5</c:v>
                </c:pt>
                <c:pt idx="10">
                  <c:v>0</c:v>
                </c:pt>
                <c:pt idx="11">
                  <c:v>0.5</c:v>
                </c:pt>
                <c:pt idx="12">
                  <c:v>1</c:v>
                </c:pt>
                <c:pt idx="13">
                  <c:v>1.5</c:v>
                </c:pt>
                <c:pt idx="14">
                  <c:v>2</c:v>
                </c:pt>
                <c:pt idx="15">
                  <c:v>2.5</c:v>
                </c:pt>
                <c:pt idx="16">
                  <c:v>3</c:v>
                </c:pt>
                <c:pt idx="17">
                  <c:v>3.5</c:v>
                </c:pt>
                <c:pt idx="18">
                  <c:v>4</c:v>
                </c:pt>
                <c:pt idx="19">
                  <c:v>4.5</c:v>
                </c:pt>
                <c:pt idx="20">
                  <c:v>5</c:v>
                </c:pt>
              </c:numCache>
            </c:numRef>
          </c:xVal>
          <c:yVal>
            <c:numRef>
              <c:f>Sheet2!$F$7:$F$27</c:f>
              <c:numCache>
                <c:formatCode>General</c:formatCode>
                <c:ptCount val="21"/>
                <c:pt idx="0">
                  <c:v>11.111111111111112</c:v>
                </c:pt>
                <c:pt idx="1">
                  <c:v>9</c:v>
                </c:pt>
                <c:pt idx="2">
                  <c:v>7.1111111111111107</c:v>
                </c:pt>
                <c:pt idx="3">
                  <c:v>5.4444444444444455</c:v>
                </c:pt>
                <c:pt idx="4">
                  <c:v>4</c:v>
                </c:pt>
                <c:pt idx="5">
                  <c:v>2.7777777777777781</c:v>
                </c:pt>
                <c:pt idx="6">
                  <c:v>1.7777777777777777</c:v>
                </c:pt>
                <c:pt idx="7">
                  <c:v>1</c:v>
                </c:pt>
                <c:pt idx="8">
                  <c:v>0.44444444444444442</c:v>
                </c:pt>
                <c:pt idx="9">
                  <c:v>0.1111111111111111</c:v>
                </c:pt>
                <c:pt idx="10">
                  <c:v>0</c:v>
                </c:pt>
                <c:pt idx="11">
                  <c:v>0.1111111111111111</c:v>
                </c:pt>
                <c:pt idx="12">
                  <c:v>0.44444444444444442</c:v>
                </c:pt>
                <c:pt idx="13">
                  <c:v>1</c:v>
                </c:pt>
                <c:pt idx="14">
                  <c:v>1.7777777777777777</c:v>
                </c:pt>
                <c:pt idx="15">
                  <c:v>2.7777777777777781</c:v>
                </c:pt>
                <c:pt idx="16">
                  <c:v>4</c:v>
                </c:pt>
                <c:pt idx="17">
                  <c:v>5.4444444444444455</c:v>
                </c:pt>
                <c:pt idx="18">
                  <c:v>7.1111111111111107</c:v>
                </c:pt>
                <c:pt idx="19">
                  <c:v>9</c:v>
                </c:pt>
                <c:pt idx="20">
                  <c:v>11.111111111111112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ABB-44A0-8731-B263D4290ED9}"/>
            </c:ext>
          </c:extLst>
        </c:ser>
        <c:ser>
          <c:idx val="5"/>
          <c:order val="5"/>
          <c:tx>
            <c:strRef>
              <c:f>Sheet2!$G$6</c:f>
              <c:strCache>
                <c:ptCount val="1"/>
                <c:pt idx="0">
                  <c:v> -y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Sheet2!$A$7:$A$27</c:f>
              <c:numCache>
                <c:formatCode>General</c:formatCode>
                <c:ptCount val="21"/>
                <c:pt idx="0">
                  <c:v>-5</c:v>
                </c:pt>
                <c:pt idx="1">
                  <c:v>-4.5</c:v>
                </c:pt>
                <c:pt idx="2">
                  <c:v>-4</c:v>
                </c:pt>
                <c:pt idx="3">
                  <c:v>-3.5</c:v>
                </c:pt>
                <c:pt idx="4">
                  <c:v>-3</c:v>
                </c:pt>
                <c:pt idx="5">
                  <c:v>-2.5</c:v>
                </c:pt>
                <c:pt idx="6">
                  <c:v>-2</c:v>
                </c:pt>
                <c:pt idx="7">
                  <c:v>-1.5</c:v>
                </c:pt>
                <c:pt idx="8">
                  <c:v>-1</c:v>
                </c:pt>
                <c:pt idx="9">
                  <c:v>-0.5</c:v>
                </c:pt>
                <c:pt idx="10">
                  <c:v>0</c:v>
                </c:pt>
                <c:pt idx="11">
                  <c:v>0.5</c:v>
                </c:pt>
                <c:pt idx="12">
                  <c:v>1</c:v>
                </c:pt>
                <c:pt idx="13">
                  <c:v>1.5</c:v>
                </c:pt>
                <c:pt idx="14">
                  <c:v>2</c:v>
                </c:pt>
                <c:pt idx="15">
                  <c:v>2.5</c:v>
                </c:pt>
                <c:pt idx="16">
                  <c:v>3</c:v>
                </c:pt>
                <c:pt idx="17">
                  <c:v>3.5</c:v>
                </c:pt>
                <c:pt idx="18">
                  <c:v>4</c:v>
                </c:pt>
                <c:pt idx="19">
                  <c:v>4.5</c:v>
                </c:pt>
                <c:pt idx="20">
                  <c:v>5</c:v>
                </c:pt>
              </c:numCache>
            </c:numRef>
          </c:xVal>
          <c:yVal>
            <c:numRef>
              <c:f>Sheet2!$G$7:$G$27</c:f>
              <c:numCache>
                <c:formatCode>General</c:formatCode>
                <c:ptCount val="21"/>
                <c:pt idx="0">
                  <c:v>-25</c:v>
                </c:pt>
                <c:pt idx="1">
                  <c:v>-20.25</c:v>
                </c:pt>
                <c:pt idx="2">
                  <c:v>-16</c:v>
                </c:pt>
                <c:pt idx="3">
                  <c:v>-12.25</c:v>
                </c:pt>
                <c:pt idx="4">
                  <c:v>-9</c:v>
                </c:pt>
                <c:pt idx="5">
                  <c:v>-6.25</c:v>
                </c:pt>
                <c:pt idx="6">
                  <c:v>-4</c:v>
                </c:pt>
                <c:pt idx="7">
                  <c:v>-2.25</c:v>
                </c:pt>
                <c:pt idx="8">
                  <c:v>-1</c:v>
                </c:pt>
                <c:pt idx="9">
                  <c:v>-0.25</c:v>
                </c:pt>
                <c:pt idx="10">
                  <c:v>0</c:v>
                </c:pt>
                <c:pt idx="11">
                  <c:v>-0.25</c:v>
                </c:pt>
                <c:pt idx="12">
                  <c:v>-1</c:v>
                </c:pt>
                <c:pt idx="13">
                  <c:v>-2.25</c:v>
                </c:pt>
                <c:pt idx="14">
                  <c:v>-4</c:v>
                </c:pt>
                <c:pt idx="15">
                  <c:v>-6.25</c:v>
                </c:pt>
                <c:pt idx="16">
                  <c:v>-9</c:v>
                </c:pt>
                <c:pt idx="17">
                  <c:v>-12.25</c:v>
                </c:pt>
                <c:pt idx="18">
                  <c:v>-16</c:v>
                </c:pt>
                <c:pt idx="19">
                  <c:v>-20.25</c:v>
                </c:pt>
                <c:pt idx="20">
                  <c:v>-25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DABB-44A0-8731-B263D4290ED9}"/>
            </c:ext>
          </c:extLst>
        </c:ser>
        <c:ser>
          <c:idx val="6"/>
          <c:order val="6"/>
          <c:tx>
            <c:strRef>
              <c:f>Sheet2!$H$6</c:f>
              <c:strCache>
                <c:ptCount val="1"/>
                <c:pt idx="0">
                  <c:v>y(-x)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Sheet2!$A$7:$A$27</c:f>
              <c:numCache>
                <c:formatCode>General</c:formatCode>
                <c:ptCount val="21"/>
                <c:pt idx="0">
                  <c:v>-5</c:v>
                </c:pt>
                <c:pt idx="1">
                  <c:v>-4.5</c:v>
                </c:pt>
                <c:pt idx="2">
                  <c:v>-4</c:v>
                </c:pt>
                <c:pt idx="3">
                  <c:v>-3.5</c:v>
                </c:pt>
                <c:pt idx="4">
                  <c:v>-3</c:v>
                </c:pt>
                <c:pt idx="5">
                  <c:v>-2.5</c:v>
                </c:pt>
                <c:pt idx="6">
                  <c:v>-2</c:v>
                </c:pt>
                <c:pt idx="7">
                  <c:v>-1.5</c:v>
                </c:pt>
                <c:pt idx="8">
                  <c:v>-1</c:v>
                </c:pt>
                <c:pt idx="9">
                  <c:v>-0.5</c:v>
                </c:pt>
                <c:pt idx="10">
                  <c:v>0</c:v>
                </c:pt>
                <c:pt idx="11">
                  <c:v>0.5</c:v>
                </c:pt>
                <c:pt idx="12">
                  <c:v>1</c:v>
                </c:pt>
                <c:pt idx="13">
                  <c:v>1.5</c:v>
                </c:pt>
                <c:pt idx="14">
                  <c:v>2</c:v>
                </c:pt>
                <c:pt idx="15">
                  <c:v>2.5</c:v>
                </c:pt>
                <c:pt idx="16">
                  <c:v>3</c:v>
                </c:pt>
                <c:pt idx="17">
                  <c:v>3.5</c:v>
                </c:pt>
                <c:pt idx="18">
                  <c:v>4</c:v>
                </c:pt>
                <c:pt idx="19">
                  <c:v>4.5</c:v>
                </c:pt>
                <c:pt idx="20">
                  <c:v>5</c:v>
                </c:pt>
              </c:numCache>
            </c:numRef>
          </c:xVal>
          <c:yVal>
            <c:numRef>
              <c:f>Sheet2!$H$7:$H$27</c:f>
              <c:numCache>
                <c:formatCode>General</c:formatCode>
                <c:ptCount val="21"/>
                <c:pt idx="0">
                  <c:v>25</c:v>
                </c:pt>
                <c:pt idx="1">
                  <c:v>20.25</c:v>
                </c:pt>
                <c:pt idx="2">
                  <c:v>16</c:v>
                </c:pt>
                <c:pt idx="3">
                  <c:v>12.25</c:v>
                </c:pt>
                <c:pt idx="4">
                  <c:v>9</c:v>
                </c:pt>
                <c:pt idx="5">
                  <c:v>6.25</c:v>
                </c:pt>
                <c:pt idx="6">
                  <c:v>4</c:v>
                </c:pt>
                <c:pt idx="7">
                  <c:v>2.25</c:v>
                </c:pt>
                <c:pt idx="8">
                  <c:v>1</c:v>
                </c:pt>
                <c:pt idx="9">
                  <c:v>0.25</c:v>
                </c:pt>
                <c:pt idx="10">
                  <c:v>0</c:v>
                </c:pt>
                <c:pt idx="11">
                  <c:v>0.25</c:v>
                </c:pt>
                <c:pt idx="12">
                  <c:v>1</c:v>
                </c:pt>
                <c:pt idx="13">
                  <c:v>2.25</c:v>
                </c:pt>
                <c:pt idx="14">
                  <c:v>4</c:v>
                </c:pt>
                <c:pt idx="15">
                  <c:v>6.25</c:v>
                </c:pt>
                <c:pt idx="16">
                  <c:v>9</c:v>
                </c:pt>
                <c:pt idx="17">
                  <c:v>12.25</c:v>
                </c:pt>
                <c:pt idx="18">
                  <c:v>16</c:v>
                </c:pt>
                <c:pt idx="19">
                  <c:v>20.25</c:v>
                </c:pt>
                <c:pt idx="20">
                  <c:v>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DABB-44A0-8731-B263D4290E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3062431"/>
        <c:axId val="1283066271"/>
      </c:scatterChart>
      <c:valAx>
        <c:axId val="1283062431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283066271"/>
        <c:crosses val="autoZero"/>
        <c:crossBetween val="midCat"/>
      </c:valAx>
      <c:valAx>
        <c:axId val="1283066271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28306243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6</xdr:row>
      <xdr:rowOff>41910</xdr:rowOff>
    </xdr:from>
    <xdr:to>
      <xdr:col>17</xdr:col>
      <xdr:colOff>472440</xdr:colOff>
      <xdr:row>23</xdr:row>
      <xdr:rowOff>121920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52BA85-688A-D50F-E45E-635FA37E7B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7</xdr:row>
      <xdr:rowOff>41910</xdr:rowOff>
    </xdr:from>
    <xdr:to>
      <xdr:col>17</xdr:col>
      <xdr:colOff>297180</xdr:colOff>
      <xdr:row>27</xdr:row>
      <xdr:rowOff>137160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DBFA1EA-2C36-8E55-3B40-A59A7F5998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3074B-9AF7-4C41-9C25-421CE81DE164}">
  <dimension ref="A1:M27"/>
  <sheetViews>
    <sheetView workbookViewId="0">
      <selection activeCell="E7" sqref="E7"/>
    </sheetView>
  </sheetViews>
  <sheetFormatPr defaultRowHeight="14.4" x14ac:dyDescent="0.3"/>
  <sheetData>
    <row r="1" spans="1:13" x14ac:dyDescent="0.3">
      <c r="A1" t="s">
        <v>0</v>
      </c>
    </row>
    <row r="2" spans="1:13" x14ac:dyDescent="0.3">
      <c r="A2" t="s">
        <v>1</v>
      </c>
      <c r="B2">
        <v>1</v>
      </c>
      <c r="C2" t="s">
        <v>3</v>
      </c>
      <c r="D2">
        <v>2</v>
      </c>
    </row>
    <row r="3" spans="1:13" x14ac:dyDescent="0.3">
      <c r="A3" t="s">
        <v>2</v>
      </c>
      <c r="B3">
        <v>0</v>
      </c>
    </row>
    <row r="4" spans="1:13" x14ac:dyDescent="0.3">
      <c r="A4" t="s">
        <v>3</v>
      </c>
      <c r="B4">
        <v>0</v>
      </c>
      <c r="M4" t="s">
        <v>10</v>
      </c>
    </row>
    <row r="6" spans="1:13" x14ac:dyDescent="0.3">
      <c r="A6" t="s">
        <v>4</v>
      </c>
      <c r="B6" t="s">
        <v>5</v>
      </c>
      <c r="C6" t="s">
        <v>6</v>
      </c>
      <c r="D6" t="s">
        <v>7</v>
      </c>
      <c r="E6" t="s">
        <v>8</v>
      </c>
      <c r="F6" t="s">
        <v>9</v>
      </c>
    </row>
    <row r="7" spans="1:13" x14ac:dyDescent="0.3">
      <c r="A7">
        <v>-5</v>
      </c>
      <c r="B7">
        <f>A7*A7*$B$2+A7*$B$3+$B$4</f>
        <v>25</v>
      </c>
      <c r="C7">
        <f>B7+$D$2</f>
        <v>27</v>
      </c>
      <c r="D7">
        <f>B7-$D$2</f>
        <v>23</v>
      </c>
      <c r="E7">
        <f>$B$2*(A7-$D$2)^2+$B$3*(A7-$D$2)+$B$4</f>
        <v>49</v>
      </c>
      <c r="F7">
        <f>$B$2*(A7+$D$2)^2+$B$3*(A7+$D$2)+$B$4</f>
        <v>9</v>
      </c>
    </row>
    <row r="8" spans="1:13" x14ac:dyDescent="0.3">
      <c r="A8">
        <f>A7+0.5</f>
        <v>-4.5</v>
      </c>
      <c r="B8">
        <f t="shared" ref="B8:B27" si="0">A8*A8*$B$2+A8*$B$3+$B$4</f>
        <v>20.25</v>
      </c>
      <c r="C8">
        <f t="shared" ref="C8:C27" si="1">B8+$D$2</f>
        <v>22.25</v>
      </c>
      <c r="D8">
        <f t="shared" ref="D8:D27" si="2">B8-$D$2</f>
        <v>18.25</v>
      </c>
      <c r="E8">
        <f t="shared" ref="E8:E27" si="3">$B$2*(A8-$D$2)^2+$B$3*(A8-$D$2)+$B$4</f>
        <v>42.25</v>
      </c>
      <c r="F8">
        <f t="shared" ref="F8:F27" si="4">$B$2*(A8+$D$2)^2+$B$3*(A8+$D$2)+$B$4</f>
        <v>6.25</v>
      </c>
    </row>
    <row r="9" spans="1:13" x14ac:dyDescent="0.3">
      <c r="A9">
        <f t="shared" ref="A9:A27" si="5">A8+0.5</f>
        <v>-4</v>
      </c>
      <c r="B9">
        <f t="shared" si="0"/>
        <v>16</v>
      </c>
      <c r="C9">
        <f t="shared" si="1"/>
        <v>18</v>
      </c>
      <c r="D9">
        <f t="shared" si="2"/>
        <v>14</v>
      </c>
      <c r="E9">
        <f t="shared" si="3"/>
        <v>36</v>
      </c>
      <c r="F9">
        <f t="shared" si="4"/>
        <v>4</v>
      </c>
    </row>
    <row r="10" spans="1:13" x14ac:dyDescent="0.3">
      <c r="A10">
        <f t="shared" si="5"/>
        <v>-3.5</v>
      </c>
      <c r="B10">
        <f t="shared" si="0"/>
        <v>12.25</v>
      </c>
      <c r="C10">
        <f t="shared" si="1"/>
        <v>14.25</v>
      </c>
      <c r="D10">
        <f t="shared" si="2"/>
        <v>10.25</v>
      </c>
      <c r="E10">
        <f t="shared" si="3"/>
        <v>30.25</v>
      </c>
      <c r="F10">
        <f t="shared" si="4"/>
        <v>2.25</v>
      </c>
    </row>
    <row r="11" spans="1:13" x14ac:dyDescent="0.3">
      <c r="A11">
        <f t="shared" si="5"/>
        <v>-3</v>
      </c>
      <c r="B11">
        <f t="shared" si="0"/>
        <v>9</v>
      </c>
      <c r="C11">
        <f t="shared" si="1"/>
        <v>11</v>
      </c>
      <c r="D11">
        <f t="shared" si="2"/>
        <v>7</v>
      </c>
      <c r="E11">
        <f t="shared" si="3"/>
        <v>25</v>
      </c>
      <c r="F11">
        <f t="shared" si="4"/>
        <v>1</v>
      </c>
    </row>
    <row r="12" spans="1:13" x14ac:dyDescent="0.3">
      <c r="A12">
        <f t="shared" si="5"/>
        <v>-2.5</v>
      </c>
      <c r="B12">
        <f t="shared" si="0"/>
        <v>6.25</v>
      </c>
      <c r="C12">
        <f t="shared" si="1"/>
        <v>8.25</v>
      </c>
      <c r="D12">
        <f t="shared" si="2"/>
        <v>4.25</v>
      </c>
      <c r="E12">
        <f t="shared" si="3"/>
        <v>20.25</v>
      </c>
      <c r="F12">
        <f t="shared" si="4"/>
        <v>0.25</v>
      </c>
    </row>
    <row r="13" spans="1:13" x14ac:dyDescent="0.3">
      <c r="A13">
        <f t="shared" si="5"/>
        <v>-2</v>
      </c>
      <c r="B13">
        <f t="shared" si="0"/>
        <v>4</v>
      </c>
      <c r="C13">
        <f t="shared" si="1"/>
        <v>6</v>
      </c>
      <c r="D13">
        <f t="shared" si="2"/>
        <v>2</v>
      </c>
      <c r="E13">
        <f t="shared" si="3"/>
        <v>16</v>
      </c>
      <c r="F13">
        <f t="shared" si="4"/>
        <v>0</v>
      </c>
    </row>
    <row r="14" spans="1:13" x14ac:dyDescent="0.3">
      <c r="A14">
        <f t="shared" si="5"/>
        <v>-1.5</v>
      </c>
      <c r="B14">
        <f t="shared" si="0"/>
        <v>2.25</v>
      </c>
      <c r="C14">
        <f t="shared" si="1"/>
        <v>4.25</v>
      </c>
      <c r="D14">
        <f t="shared" si="2"/>
        <v>0.25</v>
      </c>
      <c r="E14">
        <f t="shared" si="3"/>
        <v>12.25</v>
      </c>
      <c r="F14">
        <f t="shared" si="4"/>
        <v>0.25</v>
      </c>
    </row>
    <row r="15" spans="1:13" x14ac:dyDescent="0.3">
      <c r="A15">
        <f t="shared" si="5"/>
        <v>-1</v>
      </c>
      <c r="B15">
        <f t="shared" si="0"/>
        <v>1</v>
      </c>
      <c r="C15">
        <f t="shared" si="1"/>
        <v>3</v>
      </c>
      <c r="D15">
        <f t="shared" si="2"/>
        <v>-1</v>
      </c>
      <c r="E15">
        <f t="shared" si="3"/>
        <v>9</v>
      </c>
      <c r="F15">
        <f t="shared" si="4"/>
        <v>1</v>
      </c>
    </row>
    <row r="16" spans="1:13" x14ac:dyDescent="0.3">
      <c r="A16">
        <f t="shared" si="5"/>
        <v>-0.5</v>
      </c>
      <c r="B16">
        <f t="shared" si="0"/>
        <v>0.25</v>
      </c>
      <c r="C16">
        <f t="shared" si="1"/>
        <v>2.25</v>
      </c>
      <c r="D16">
        <f t="shared" si="2"/>
        <v>-1.75</v>
      </c>
      <c r="E16">
        <f t="shared" si="3"/>
        <v>6.25</v>
      </c>
      <c r="F16">
        <f t="shared" si="4"/>
        <v>2.25</v>
      </c>
    </row>
    <row r="17" spans="1:6" x14ac:dyDescent="0.3">
      <c r="A17">
        <f t="shared" si="5"/>
        <v>0</v>
      </c>
      <c r="B17">
        <f t="shared" si="0"/>
        <v>0</v>
      </c>
      <c r="C17">
        <f t="shared" si="1"/>
        <v>2</v>
      </c>
      <c r="D17">
        <f t="shared" si="2"/>
        <v>-2</v>
      </c>
      <c r="E17">
        <f t="shared" si="3"/>
        <v>4</v>
      </c>
      <c r="F17">
        <f t="shared" si="4"/>
        <v>4</v>
      </c>
    </row>
    <row r="18" spans="1:6" x14ac:dyDescent="0.3">
      <c r="A18">
        <f t="shared" si="5"/>
        <v>0.5</v>
      </c>
      <c r="B18">
        <f t="shared" si="0"/>
        <v>0.25</v>
      </c>
      <c r="C18">
        <f t="shared" si="1"/>
        <v>2.25</v>
      </c>
      <c r="D18">
        <f t="shared" si="2"/>
        <v>-1.75</v>
      </c>
      <c r="E18">
        <f t="shared" si="3"/>
        <v>2.25</v>
      </c>
      <c r="F18">
        <f t="shared" si="4"/>
        <v>6.25</v>
      </c>
    </row>
    <row r="19" spans="1:6" x14ac:dyDescent="0.3">
      <c r="A19">
        <f t="shared" si="5"/>
        <v>1</v>
      </c>
      <c r="B19">
        <f t="shared" si="0"/>
        <v>1</v>
      </c>
      <c r="C19">
        <f t="shared" si="1"/>
        <v>3</v>
      </c>
      <c r="D19">
        <f t="shared" si="2"/>
        <v>-1</v>
      </c>
      <c r="E19">
        <f t="shared" si="3"/>
        <v>1</v>
      </c>
      <c r="F19">
        <f t="shared" si="4"/>
        <v>9</v>
      </c>
    </row>
    <row r="20" spans="1:6" x14ac:dyDescent="0.3">
      <c r="A20">
        <f t="shared" si="5"/>
        <v>1.5</v>
      </c>
      <c r="B20">
        <f t="shared" si="0"/>
        <v>2.25</v>
      </c>
      <c r="C20">
        <f t="shared" si="1"/>
        <v>4.25</v>
      </c>
      <c r="D20">
        <f t="shared" si="2"/>
        <v>0.25</v>
      </c>
      <c r="E20">
        <f t="shared" si="3"/>
        <v>0.25</v>
      </c>
      <c r="F20">
        <f t="shared" si="4"/>
        <v>12.25</v>
      </c>
    </row>
    <row r="21" spans="1:6" x14ac:dyDescent="0.3">
      <c r="A21">
        <f t="shared" si="5"/>
        <v>2</v>
      </c>
      <c r="B21">
        <f t="shared" si="0"/>
        <v>4</v>
      </c>
      <c r="C21">
        <f t="shared" si="1"/>
        <v>6</v>
      </c>
      <c r="D21">
        <f t="shared" si="2"/>
        <v>2</v>
      </c>
      <c r="E21">
        <f t="shared" si="3"/>
        <v>0</v>
      </c>
      <c r="F21">
        <f t="shared" si="4"/>
        <v>16</v>
      </c>
    </row>
    <row r="22" spans="1:6" x14ac:dyDescent="0.3">
      <c r="A22">
        <f t="shared" si="5"/>
        <v>2.5</v>
      </c>
      <c r="B22">
        <f t="shared" si="0"/>
        <v>6.25</v>
      </c>
      <c r="C22">
        <f t="shared" si="1"/>
        <v>8.25</v>
      </c>
      <c r="D22">
        <f t="shared" si="2"/>
        <v>4.25</v>
      </c>
      <c r="E22">
        <f t="shared" si="3"/>
        <v>0.25</v>
      </c>
      <c r="F22">
        <f t="shared" si="4"/>
        <v>20.25</v>
      </c>
    </row>
    <row r="23" spans="1:6" x14ac:dyDescent="0.3">
      <c r="A23">
        <f t="shared" si="5"/>
        <v>3</v>
      </c>
      <c r="B23">
        <f t="shared" si="0"/>
        <v>9</v>
      </c>
      <c r="C23">
        <f t="shared" si="1"/>
        <v>11</v>
      </c>
      <c r="D23">
        <f t="shared" si="2"/>
        <v>7</v>
      </c>
      <c r="E23">
        <f t="shared" si="3"/>
        <v>1</v>
      </c>
      <c r="F23">
        <f t="shared" si="4"/>
        <v>25</v>
      </c>
    </row>
    <row r="24" spans="1:6" x14ac:dyDescent="0.3">
      <c r="A24">
        <f t="shared" si="5"/>
        <v>3.5</v>
      </c>
      <c r="B24">
        <f t="shared" si="0"/>
        <v>12.25</v>
      </c>
      <c r="C24">
        <f t="shared" si="1"/>
        <v>14.25</v>
      </c>
      <c r="D24">
        <f t="shared" si="2"/>
        <v>10.25</v>
      </c>
      <c r="E24">
        <f t="shared" si="3"/>
        <v>2.25</v>
      </c>
      <c r="F24">
        <f t="shared" si="4"/>
        <v>30.25</v>
      </c>
    </row>
    <row r="25" spans="1:6" x14ac:dyDescent="0.3">
      <c r="A25">
        <f t="shared" si="5"/>
        <v>4</v>
      </c>
      <c r="B25">
        <f t="shared" si="0"/>
        <v>16</v>
      </c>
      <c r="C25">
        <f t="shared" si="1"/>
        <v>18</v>
      </c>
      <c r="D25">
        <f t="shared" si="2"/>
        <v>14</v>
      </c>
      <c r="E25">
        <f t="shared" si="3"/>
        <v>4</v>
      </c>
      <c r="F25">
        <f t="shared" si="4"/>
        <v>36</v>
      </c>
    </row>
    <row r="26" spans="1:6" x14ac:dyDescent="0.3">
      <c r="A26">
        <f t="shared" si="5"/>
        <v>4.5</v>
      </c>
      <c r="B26">
        <f t="shared" si="0"/>
        <v>20.25</v>
      </c>
      <c r="C26">
        <f t="shared" si="1"/>
        <v>22.25</v>
      </c>
      <c r="D26">
        <f t="shared" si="2"/>
        <v>18.25</v>
      </c>
      <c r="E26">
        <f t="shared" si="3"/>
        <v>6.25</v>
      </c>
      <c r="F26">
        <f t="shared" si="4"/>
        <v>42.25</v>
      </c>
    </row>
    <row r="27" spans="1:6" x14ac:dyDescent="0.3">
      <c r="A27">
        <f t="shared" si="5"/>
        <v>5</v>
      </c>
      <c r="B27">
        <f t="shared" si="0"/>
        <v>25</v>
      </c>
      <c r="C27">
        <f t="shared" si="1"/>
        <v>27</v>
      </c>
      <c r="D27">
        <f t="shared" si="2"/>
        <v>23</v>
      </c>
      <c r="E27">
        <f t="shared" si="3"/>
        <v>9</v>
      </c>
      <c r="F27">
        <f t="shared" si="4"/>
        <v>49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07548-299B-4E15-8EE3-50402CB5280A}">
  <dimension ref="A1:H27"/>
  <sheetViews>
    <sheetView tabSelected="1" topLeftCell="A2" workbookViewId="0">
      <selection activeCell="K4" sqref="K4"/>
    </sheetView>
  </sheetViews>
  <sheetFormatPr defaultRowHeight="14.4" x14ac:dyDescent="0.3"/>
  <sheetData>
    <row r="1" spans="1:8" x14ac:dyDescent="0.3">
      <c r="A1" t="s">
        <v>0</v>
      </c>
    </row>
    <row r="2" spans="1:8" x14ac:dyDescent="0.3">
      <c r="A2" t="s">
        <v>1</v>
      </c>
      <c r="B2">
        <v>1</v>
      </c>
      <c r="C2" t="s">
        <v>3</v>
      </c>
      <c r="D2">
        <v>1.5</v>
      </c>
    </row>
    <row r="3" spans="1:8" x14ac:dyDescent="0.3">
      <c r="A3" t="s">
        <v>2</v>
      </c>
      <c r="B3">
        <v>0</v>
      </c>
    </row>
    <row r="4" spans="1:8" x14ac:dyDescent="0.3">
      <c r="A4" t="s">
        <v>3</v>
      </c>
      <c r="B4">
        <v>0</v>
      </c>
    </row>
    <row r="6" spans="1:8" x14ac:dyDescent="0.3">
      <c r="A6" t="s">
        <v>4</v>
      </c>
      <c r="B6" t="s">
        <v>5</v>
      </c>
      <c r="C6" t="s">
        <v>11</v>
      </c>
      <c r="D6" t="s">
        <v>12</v>
      </c>
      <c r="E6" t="s">
        <v>13</v>
      </c>
      <c r="F6" t="s">
        <v>14</v>
      </c>
      <c r="G6" t="s">
        <v>15</v>
      </c>
      <c r="H6" t="s">
        <v>16</v>
      </c>
    </row>
    <row r="7" spans="1:8" x14ac:dyDescent="0.3">
      <c r="A7">
        <v>-5</v>
      </c>
      <c r="B7">
        <f>A7*A7*$B$2+A7*$B$3+$B$4</f>
        <v>25</v>
      </c>
      <c r="C7">
        <f>B7*$D$2</f>
        <v>37.5</v>
      </c>
      <c r="D7">
        <f>B7/$D$2</f>
        <v>16.666666666666668</v>
      </c>
      <c r="E7">
        <f>$B$2*(A7*$D$2)^2+$B$3*(A7*$D$2)+$B$4</f>
        <v>56.25</v>
      </c>
      <c r="F7">
        <f>$B$2*(A7/$D$2)^2+$B$3*(A7/$D$2)+$B$4</f>
        <v>11.111111111111112</v>
      </c>
      <c r="G7">
        <f>-B7</f>
        <v>-25</v>
      </c>
      <c r="H7">
        <f>$B$2*(-A7)^2+$B$3*(-A7)+$B$4</f>
        <v>25</v>
      </c>
    </row>
    <row r="8" spans="1:8" x14ac:dyDescent="0.3">
      <c r="A8">
        <f>A7+0.5</f>
        <v>-4.5</v>
      </c>
      <c r="B8">
        <f t="shared" ref="B8:B27" si="0">A8*A8*$B$2+A8*$B$3+$B$4</f>
        <v>20.25</v>
      </c>
      <c r="C8">
        <f t="shared" ref="C8:C27" si="1">B8*$D$2</f>
        <v>30.375</v>
      </c>
      <c r="D8">
        <f t="shared" ref="D8:D27" si="2">B8/$D$2</f>
        <v>13.5</v>
      </c>
      <c r="E8">
        <f t="shared" ref="E8:E27" si="3">$B$2*(A8*$D$2)^2+$B$3*(A8*$D$2)+$B$4</f>
        <v>45.5625</v>
      </c>
      <c r="F8">
        <f t="shared" ref="F8:F27" si="4">$B$2*(A8/$D$2)^2+$B$3*(A8/$D$2)+$B$4</f>
        <v>9</v>
      </c>
      <c r="G8">
        <f t="shared" ref="G8:G27" si="5">-B8</f>
        <v>-20.25</v>
      </c>
      <c r="H8">
        <f t="shared" ref="H8:H27" si="6">$B$2*(-A8)^2+$B$3*(-A8)+$B$4</f>
        <v>20.25</v>
      </c>
    </row>
    <row r="9" spans="1:8" x14ac:dyDescent="0.3">
      <c r="A9">
        <f t="shared" ref="A9:A27" si="7">A8+0.5</f>
        <v>-4</v>
      </c>
      <c r="B9">
        <f t="shared" si="0"/>
        <v>16</v>
      </c>
      <c r="C9">
        <f t="shared" si="1"/>
        <v>24</v>
      </c>
      <c r="D9">
        <f t="shared" si="2"/>
        <v>10.666666666666666</v>
      </c>
      <c r="E9">
        <f t="shared" si="3"/>
        <v>36</v>
      </c>
      <c r="F9">
        <f t="shared" si="4"/>
        <v>7.1111111111111107</v>
      </c>
      <c r="G9">
        <f t="shared" si="5"/>
        <v>-16</v>
      </c>
      <c r="H9">
        <f t="shared" si="6"/>
        <v>16</v>
      </c>
    </row>
    <row r="10" spans="1:8" x14ac:dyDescent="0.3">
      <c r="A10">
        <f t="shared" si="7"/>
        <v>-3.5</v>
      </c>
      <c r="B10">
        <f t="shared" si="0"/>
        <v>12.25</v>
      </c>
      <c r="C10">
        <f t="shared" si="1"/>
        <v>18.375</v>
      </c>
      <c r="D10">
        <f t="shared" si="2"/>
        <v>8.1666666666666661</v>
      </c>
      <c r="E10">
        <f t="shared" si="3"/>
        <v>27.5625</v>
      </c>
      <c r="F10">
        <f t="shared" si="4"/>
        <v>5.4444444444444455</v>
      </c>
      <c r="G10">
        <f t="shared" si="5"/>
        <v>-12.25</v>
      </c>
      <c r="H10">
        <f t="shared" si="6"/>
        <v>12.25</v>
      </c>
    </row>
    <row r="11" spans="1:8" x14ac:dyDescent="0.3">
      <c r="A11">
        <f t="shared" si="7"/>
        <v>-3</v>
      </c>
      <c r="B11">
        <f t="shared" si="0"/>
        <v>9</v>
      </c>
      <c r="C11">
        <f t="shared" si="1"/>
        <v>13.5</v>
      </c>
      <c r="D11">
        <f t="shared" si="2"/>
        <v>6</v>
      </c>
      <c r="E11">
        <f t="shared" si="3"/>
        <v>20.25</v>
      </c>
      <c r="F11">
        <f t="shared" si="4"/>
        <v>4</v>
      </c>
      <c r="G11">
        <f t="shared" si="5"/>
        <v>-9</v>
      </c>
      <c r="H11">
        <f t="shared" si="6"/>
        <v>9</v>
      </c>
    </row>
    <row r="12" spans="1:8" x14ac:dyDescent="0.3">
      <c r="A12">
        <f t="shared" si="7"/>
        <v>-2.5</v>
      </c>
      <c r="B12">
        <f t="shared" si="0"/>
        <v>6.25</v>
      </c>
      <c r="C12">
        <f t="shared" si="1"/>
        <v>9.375</v>
      </c>
      <c r="D12">
        <f t="shared" si="2"/>
        <v>4.166666666666667</v>
      </c>
      <c r="E12">
        <f t="shared" si="3"/>
        <v>14.0625</v>
      </c>
      <c r="F12">
        <f t="shared" si="4"/>
        <v>2.7777777777777781</v>
      </c>
      <c r="G12">
        <f t="shared" si="5"/>
        <v>-6.25</v>
      </c>
      <c r="H12">
        <f t="shared" si="6"/>
        <v>6.25</v>
      </c>
    </row>
    <row r="13" spans="1:8" x14ac:dyDescent="0.3">
      <c r="A13">
        <f t="shared" si="7"/>
        <v>-2</v>
      </c>
      <c r="B13">
        <f t="shared" si="0"/>
        <v>4</v>
      </c>
      <c r="C13">
        <f t="shared" si="1"/>
        <v>6</v>
      </c>
      <c r="D13">
        <f t="shared" si="2"/>
        <v>2.6666666666666665</v>
      </c>
      <c r="E13">
        <f t="shared" si="3"/>
        <v>9</v>
      </c>
      <c r="F13">
        <f t="shared" si="4"/>
        <v>1.7777777777777777</v>
      </c>
      <c r="G13">
        <f t="shared" si="5"/>
        <v>-4</v>
      </c>
      <c r="H13">
        <f t="shared" si="6"/>
        <v>4</v>
      </c>
    </row>
    <row r="14" spans="1:8" x14ac:dyDescent="0.3">
      <c r="A14">
        <f t="shared" si="7"/>
        <v>-1.5</v>
      </c>
      <c r="B14">
        <f t="shared" si="0"/>
        <v>2.25</v>
      </c>
      <c r="C14">
        <f t="shared" si="1"/>
        <v>3.375</v>
      </c>
      <c r="D14">
        <f t="shared" si="2"/>
        <v>1.5</v>
      </c>
      <c r="E14">
        <f t="shared" si="3"/>
        <v>5.0625</v>
      </c>
      <c r="F14">
        <f t="shared" si="4"/>
        <v>1</v>
      </c>
      <c r="G14">
        <f t="shared" si="5"/>
        <v>-2.25</v>
      </c>
      <c r="H14">
        <f t="shared" si="6"/>
        <v>2.25</v>
      </c>
    </row>
    <row r="15" spans="1:8" x14ac:dyDescent="0.3">
      <c r="A15">
        <f t="shared" si="7"/>
        <v>-1</v>
      </c>
      <c r="B15">
        <f t="shared" si="0"/>
        <v>1</v>
      </c>
      <c r="C15">
        <f t="shared" si="1"/>
        <v>1.5</v>
      </c>
      <c r="D15">
        <f t="shared" si="2"/>
        <v>0.66666666666666663</v>
      </c>
      <c r="E15">
        <f t="shared" si="3"/>
        <v>2.25</v>
      </c>
      <c r="F15">
        <f t="shared" si="4"/>
        <v>0.44444444444444442</v>
      </c>
      <c r="G15">
        <f t="shared" si="5"/>
        <v>-1</v>
      </c>
      <c r="H15">
        <f t="shared" si="6"/>
        <v>1</v>
      </c>
    </row>
    <row r="16" spans="1:8" x14ac:dyDescent="0.3">
      <c r="A16">
        <f t="shared" si="7"/>
        <v>-0.5</v>
      </c>
      <c r="B16">
        <f t="shared" si="0"/>
        <v>0.25</v>
      </c>
      <c r="C16">
        <f t="shared" si="1"/>
        <v>0.375</v>
      </c>
      <c r="D16">
        <f t="shared" si="2"/>
        <v>0.16666666666666666</v>
      </c>
      <c r="E16">
        <f t="shared" si="3"/>
        <v>0.5625</v>
      </c>
      <c r="F16">
        <f t="shared" si="4"/>
        <v>0.1111111111111111</v>
      </c>
      <c r="G16">
        <f t="shared" si="5"/>
        <v>-0.25</v>
      </c>
      <c r="H16">
        <f t="shared" si="6"/>
        <v>0.25</v>
      </c>
    </row>
    <row r="17" spans="1:8" x14ac:dyDescent="0.3">
      <c r="A17">
        <f t="shared" si="7"/>
        <v>0</v>
      </c>
      <c r="B17">
        <f t="shared" si="0"/>
        <v>0</v>
      </c>
      <c r="C17">
        <f t="shared" si="1"/>
        <v>0</v>
      </c>
      <c r="D17">
        <f t="shared" si="2"/>
        <v>0</v>
      </c>
      <c r="E17">
        <f t="shared" si="3"/>
        <v>0</v>
      </c>
      <c r="F17">
        <f t="shared" si="4"/>
        <v>0</v>
      </c>
      <c r="G17">
        <f t="shared" si="5"/>
        <v>0</v>
      </c>
      <c r="H17">
        <f t="shared" si="6"/>
        <v>0</v>
      </c>
    </row>
    <row r="18" spans="1:8" x14ac:dyDescent="0.3">
      <c r="A18">
        <f t="shared" si="7"/>
        <v>0.5</v>
      </c>
      <c r="B18">
        <f t="shared" si="0"/>
        <v>0.25</v>
      </c>
      <c r="C18">
        <f t="shared" si="1"/>
        <v>0.375</v>
      </c>
      <c r="D18">
        <f t="shared" si="2"/>
        <v>0.16666666666666666</v>
      </c>
      <c r="E18">
        <f t="shared" si="3"/>
        <v>0.5625</v>
      </c>
      <c r="F18">
        <f t="shared" si="4"/>
        <v>0.1111111111111111</v>
      </c>
      <c r="G18">
        <f t="shared" si="5"/>
        <v>-0.25</v>
      </c>
      <c r="H18">
        <f t="shared" si="6"/>
        <v>0.25</v>
      </c>
    </row>
    <row r="19" spans="1:8" x14ac:dyDescent="0.3">
      <c r="A19">
        <f t="shared" si="7"/>
        <v>1</v>
      </c>
      <c r="B19">
        <f t="shared" si="0"/>
        <v>1</v>
      </c>
      <c r="C19">
        <f t="shared" si="1"/>
        <v>1.5</v>
      </c>
      <c r="D19">
        <f t="shared" si="2"/>
        <v>0.66666666666666663</v>
      </c>
      <c r="E19">
        <f t="shared" si="3"/>
        <v>2.25</v>
      </c>
      <c r="F19">
        <f t="shared" si="4"/>
        <v>0.44444444444444442</v>
      </c>
      <c r="G19">
        <f t="shared" si="5"/>
        <v>-1</v>
      </c>
      <c r="H19">
        <f t="shared" si="6"/>
        <v>1</v>
      </c>
    </row>
    <row r="20" spans="1:8" x14ac:dyDescent="0.3">
      <c r="A20">
        <f t="shared" si="7"/>
        <v>1.5</v>
      </c>
      <c r="B20">
        <f t="shared" si="0"/>
        <v>2.25</v>
      </c>
      <c r="C20">
        <f t="shared" si="1"/>
        <v>3.375</v>
      </c>
      <c r="D20">
        <f t="shared" si="2"/>
        <v>1.5</v>
      </c>
      <c r="E20">
        <f t="shared" si="3"/>
        <v>5.0625</v>
      </c>
      <c r="F20">
        <f t="shared" si="4"/>
        <v>1</v>
      </c>
      <c r="G20">
        <f t="shared" si="5"/>
        <v>-2.25</v>
      </c>
      <c r="H20">
        <f t="shared" si="6"/>
        <v>2.25</v>
      </c>
    </row>
    <row r="21" spans="1:8" x14ac:dyDescent="0.3">
      <c r="A21">
        <f t="shared" si="7"/>
        <v>2</v>
      </c>
      <c r="B21">
        <f t="shared" si="0"/>
        <v>4</v>
      </c>
      <c r="C21">
        <f t="shared" si="1"/>
        <v>6</v>
      </c>
      <c r="D21">
        <f t="shared" si="2"/>
        <v>2.6666666666666665</v>
      </c>
      <c r="E21">
        <f t="shared" si="3"/>
        <v>9</v>
      </c>
      <c r="F21">
        <f t="shared" si="4"/>
        <v>1.7777777777777777</v>
      </c>
      <c r="G21">
        <f t="shared" si="5"/>
        <v>-4</v>
      </c>
      <c r="H21">
        <f t="shared" si="6"/>
        <v>4</v>
      </c>
    </row>
    <row r="22" spans="1:8" x14ac:dyDescent="0.3">
      <c r="A22">
        <f t="shared" si="7"/>
        <v>2.5</v>
      </c>
      <c r="B22">
        <f t="shared" si="0"/>
        <v>6.25</v>
      </c>
      <c r="C22">
        <f t="shared" si="1"/>
        <v>9.375</v>
      </c>
      <c r="D22">
        <f t="shared" si="2"/>
        <v>4.166666666666667</v>
      </c>
      <c r="E22">
        <f t="shared" si="3"/>
        <v>14.0625</v>
      </c>
      <c r="F22">
        <f t="shared" si="4"/>
        <v>2.7777777777777781</v>
      </c>
      <c r="G22">
        <f t="shared" si="5"/>
        <v>-6.25</v>
      </c>
      <c r="H22">
        <f t="shared" si="6"/>
        <v>6.25</v>
      </c>
    </row>
    <row r="23" spans="1:8" x14ac:dyDescent="0.3">
      <c r="A23">
        <f t="shared" si="7"/>
        <v>3</v>
      </c>
      <c r="B23">
        <f t="shared" si="0"/>
        <v>9</v>
      </c>
      <c r="C23">
        <f t="shared" si="1"/>
        <v>13.5</v>
      </c>
      <c r="D23">
        <f t="shared" si="2"/>
        <v>6</v>
      </c>
      <c r="E23">
        <f t="shared" si="3"/>
        <v>20.25</v>
      </c>
      <c r="F23">
        <f t="shared" si="4"/>
        <v>4</v>
      </c>
      <c r="G23">
        <f t="shared" si="5"/>
        <v>-9</v>
      </c>
      <c r="H23">
        <f t="shared" si="6"/>
        <v>9</v>
      </c>
    </row>
    <row r="24" spans="1:8" x14ac:dyDescent="0.3">
      <c r="A24">
        <f t="shared" si="7"/>
        <v>3.5</v>
      </c>
      <c r="B24">
        <f t="shared" si="0"/>
        <v>12.25</v>
      </c>
      <c r="C24">
        <f t="shared" si="1"/>
        <v>18.375</v>
      </c>
      <c r="D24">
        <f t="shared" si="2"/>
        <v>8.1666666666666661</v>
      </c>
      <c r="E24">
        <f t="shared" si="3"/>
        <v>27.5625</v>
      </c>
      <c r="F24">
        <f t="shared" si="4"/>
        <v>5.4444444444444455</v>
      </c>
      <c r="G24">
        <f t="shared" si="5"/>
        <v>-12.25</v>
      </c>
      <c r="H24">
        <f t="shared" si="6"/>
        <v>12.25</v>
      </c>
    </row>
    <row r="25" spans="1:8" x14ac:dyDescent="0.3">
      <c r="A25">
        <f t="shared" si="7"/>
        <v>4</v>
      </c>
      <c r="B25">
        <f t="shared" si="0"/>
        <v>16</v>
      </c>
      <c r="C25">
        <f t="shared" si="1"/>
        <v>24</v>
      </c>
      <c r="D25">
        <f t="shared" si="2"/>
        <v>10.666666666666666</v>
      </c>
      <c r="E25">
        <f t="shared" si="3"/>
        <v>36</v>
      </c>
      <c r="F25">
        <f t="shared" si="4"/>
        <v>7.1111111111111107</v>
      </c>
      <c r="G25">
        <f t="shared" si="5"/>
        <v>-16</v>
      </c>
      <c r="H25">
        <f t="shared" si="6"/>
        <v>16</v>
      </c>
    </row>
    <row r="26" spans="1:8" x14ac:dyDescent="0.3">
      <c r="A26">
        <f t="shared" si="7"/>
        <v>4.5</v>
      </c>
      <c r="B26">
        <f t="shared" si="0"/>
        <v>20.25</v>
      </c>
      <c r="C26">
        <f t="shared" si="1"/>
        <v>30.375</v>
      </c>
      <c r="D26">
        <f t="shared" si="2"/>
        <v>13.5</v>
      </c>
      <c r="E26">
        <f t="shared" si="3"/>
        <v>45.5625</v>
      </c>
      <c r="F26">
        <f t="shared" si="4"/>
        <v>9</v>
      </c>
      <c r="G26">
        <f t="shared" si="5"/>
        <v>-20.25</v>
      </c>
      <c r="H26">
        <f t="shared" si="6"/>
        <v>20.25</v>
      </c>
    </row>
    <row r="27" spans="1:8" x14ac:dyDescent="0.3">
      <c r="A27">
        <f t="shared" si="7"/>
        <v>5</v>
      </c>
      <c r="B27">
        <f t="shared" si="0"/>
        <v>25</v>
      </c>
      <c r="C27">
        <f t="shared" si="1"/>
        <v>37.5</v>
      </c>
      <c r="D27">
        <f t="shared" si="2"/>
        <v>16.666666666666668</v>
      </c>
      <c r="E27">
        <f t="shared" si="3"/>
        <v>56.25</v>
      </c>
      <c r="F27">
        <f t="shared" si="4"/>
        <v>11.111111111111112</v>
      </c>
      <c r="G27">
        <f t="shared" si="5"/>
        <v>-25</v>
      </c>
      <c r="H27">
        <f t="shared" si="6"/>
        <v>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Thakur Prasad Upadhyay [MCA - 2023]</dc:creator>
  <cp:lastModifiedBy>Thakur Prasad Upadhyay [MCA - 2023]</cp:lastModifiedBy>
  <dcterms:created xsi:type="dcterms:W3CDTF">2025-12-21T17:39:22Z</dcterms:created>
  <dcterms:modified xsi:type="dcterms:W3CDTF">2025-12-21T18:23:56Z</dcterms:modified>
</cp:coreProperties>
</file>